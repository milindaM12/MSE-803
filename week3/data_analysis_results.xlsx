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Descriptive Stats" sheetId="2" state="visible" r:id="rId2"/>
    <sheet name="By Country" sheetId="3" state="visible" r:id="rId3"/>
    <sheet name="Correlation" sheetId="4" state="visible" r:id="rId4"/>
    <sheet name="Data 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$#,##0.00"/>
    <numFmt numFmtId="166" formatCode="DD/MM/YYYY"/>
    <numFmt numFmtId="167" formatCode="0.000"/>
  </numFmts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0" pivotButton="0" quotePrefix="0" xfId="0"/>
    <xf numFmtId="4" fontId="2" fillId="0" borderId="0" pivotButton="0" quotePrefix="0" xfId="0"/>
    <xf numFmtId="167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8" customWidth="1" min="3" max="3"/>
    <col width="14" customWidth="1" min="4" max="4"/>
    <col width="10" customWidth="1" min="5" max="5"/>
    <col width="12" customWidth="1" min="6" max="6"/>
    <col width="14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Net worth</t>
        </is>
      </c>
      <c r="E1" s="1" t="inlineStr">
        <is>
          <t>Country</t>
        </is>
      </c>
      <c r="F1" s="1" t="inlineStr">
        <is>
          <t>Salary</t>
        </is>
      </c>
      <c r="G1" s="1" t="inlineStr">
        <is>
          <t>Join Date</t>
        </is>
      </c>
    </row>
    <row r="2">
      <c r="A2" s="2" t="inlineStr">
        <is>
          <t>1</t>
        </is>
      </c>
      <c r="B2" s="2" t="inlineStr">
        <is>
          <t>Alice</t>
        </is>
      </c>
      <c r="C2" s="3" t="n">
        <v>25</v>
      </c>
      <c r="D2" s="4" t="n">
        <v>30000</v>
      </c>
      <c r="E2" s="2" t="inlineStr">
        <is>
          <t>NZ</t>
        </is>
      </c>
      <c r="F2" s="4" t="n">
        <v>55000</v>
      </c>
      <c r="G2" s="5" t="n">
        <v>43845</v>
      </c>
    </row>
    <row r="3">
      <c r="A3" s="2" t="inlineStr">
        <is>
          <t>2</t>
        </is>
      </c>
      <c r="B3" s="2" t="inlineStr">
        <is>
          <t>Bob</t>
        </is>
      </c>
      <c r="C3" s="3" t="n">
        <v>30</v>
      </c>
      <c r="D3" s="4" t="n">
        <v>35000</v>
      </c>
      <c r="E3" s="2" t="inlineStr">
        <is>
          <t>NZ</t>
        </is>
      </c>
      <c r="F3" s="4" t="n">
        <v>60000</v>
      </c>
      <c r="G3" s="5" t="n">
        <v>43881</v>
      </c>
    </row>
    <row r="4">
      <c r="A4" s="2" t="inlineStr">
        <is>
          <t>4</t>
        </is>
      </c>
      <c r="B4" s="2" t="inlineStr">
        <is>
          <t>Charlie</t>
        </is>
      </c>
      <c r="C4" s="3" t="n">
        <v>35</v>
      </c>
      <c r="D4" s="4" t="n">
        <v>40000</v>
      </c>
      <c r="E4" s="2" t="inlineStr">
        <is>
          <t>AUS</t>
        </is>
      </c>
      <c r="F4" s="4" t="n">
        <v>72000</v>
      </c>
      <c r="G4" s="5" t="n"/>
    </row>
    <row r="5">
      <c r="A5" s="2" t="inlineStr">
        <is>
          <t>5</t>
        </is>
      </c>
      <c r="B5" s="2" t="inlineStr">
        <is>
          <t>David</t>
        </is>
      </c>
      <c r="C5" s="3" t="n">
        <v>38</v>
      </c>
      <c r="D5" s="4" t="n"/>
      <c r="E5" s="2" t="inlineStr">
        <is>
          <t>NZ</t>
        </is>
      </c>
      <c r="F5" s="4" t="n">
        <v>68000</v>
      </c>
      <c r="G5" s="5" t="n">
        <v>43770</v>
      </c>
    </row>
    <row r="6">
      <c r="A6" s="2" t="inlineStr">
        <is>
          <t>7</t>
        </is>
      </c>
      <c r="B6" s="2" t="inlineStr">
        <is>
          <t>Unknown</t>
        </is>
      </c>
      <c r="C6" s="3" t="n">
        <v>40</v>
      </c>
      <c r="D6" s="4" t="n">
        <v>55000</v>
      </c>
      <c r="E6" s="2" t="inlineStr">
        <is>
          <t>NZ</t>
        </is>
      </c>
      <c r="F6" s="4" t="n">
        <v>65000</v>
      </c>
      <c r="G6" s="5" t="n">
        <v>43250</v>
      </c>
    </row>
    <row r="7">
      <c r="A7" s="2" t="inlineStr">
        <is>
          <t>8</t>
        </is>
      </c>
      <c r="B7" s="2" t="inlineStr">
        <is>
          <t>Grace</t>
        </is>
      </c>
      <c r="C7" s="3" t="n">
        <v>22</v>
      </c>
      <c r="D7" s="4" t="n">
        <v>28000</v>
      </c>
      <c r="E7" s="2" t="inlineStr">
        <is>
          <t>Unknown</t>
        </is>
      </c>
      <c r="F7" s="4" t="n">
        <v>64000</v>
      </c>
      <c r="G7" s="5" t="n">
        <v>44402</v>
      </c>
    </row>
    <row r="8">
      <c r="A8" s="2" t="inlineStr">
        <is>
          <t>9</t>
        </is>
      </c>
      <c r="B8" s="2" t="inlineStr">
        <is>
          <t>Heidi</t>
        </is>
      </c>
      <c r="C8" s="3" t="n"/>
      <c r="D8" s="4" t="n"/>
      <c r="E8" s="2" t="inlineStr">
        <is>
          <t>AUS</t>
        </is>
      </c>
      <c r="F8" s="4" t="n"/>
      <c r="G8" s="5" t="n">
        <v>44402</v>
      </c>
    </row>
    <row r="9">
      <c r="A9" s="2" t="inlineStr">
        <is>
          <t>10</t>
        </is>
      </c>
      <c r="B9" s="2" t="inlineStr">
        <is>
          <t>Ivan</t>
        </is>
      </c>
      <c r="C9" s="3" t="n">
        <v>27</v>
      </c>
      <c r="D9" s="4" t="n">
        <v>60000</v>
      </c>
      <c r="E9" s="2" t="inlineStr">
        <is>
          <t>NZ</t>
        </is>
      </c>
      <c r="F9" s="4" t="n">
        <v>58000</v>
      </c>
      <c r="G9" s="5" t="n">
        <v>43539</v>
      </c>
    </row>
    <row r="10">
      <c r="A10" s="2" t="n"/>
      <c r="B10" s="2" t="inlineStr">
        <is>
          <t>Eve</t>
        </is>
      </c>
      <c r="C10" s="3" t="n">
        <v>29</v>
      </c>
      <c r="D10" s="4" t="n">
        <v>22000</v>
      </c>
      <c r="E10" s="2" t="inlineStr">
        <is>
          <t>AUS</t>
        </is>
      </c>
      <c r="F10" s="4" t="n">
        <v>59000</v>
      </c>
      <c r="G10" s="5" t="n">
        <v>43478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6" t="inlineStr">
        <is>
          <t>Descriptive Statistics (live formulas referencing 'Cleaned Data')</t>
        </is>
      </c>
    </row>
    <row r="3">
      <c r="A3" s="1" t="inlineStr">
        <is>
          <t>Metric</t>
        </is>
      </c>
      <c r="B3" s="1" t="inlineStr">
        <is>
          <t>Age</t>
        </is>
      </c>
      <c r="C3" s="1" t="inlineStr">
        <is>
          <t>Net worth</t>
        </is>
      </c>
      <c r="D3" s="1" t="inlineStr">
        <is>
          <t>Salary</t>
        </is>
      </c>
    </row>
    <row r="4">
      <c r="A4" s="2" t="inlineStr">
        <is>
          <t>Count (non-missing)</t>
        </is>
      </c>
      <c r="B4" s="2">
        <f>COUNT('Cleaned Data'!C2:C10)</f>
        <v/>
      </c>
      <c r="C4" s="2">
        <f>COUNT('Cleaned Data'!D2:D10)</f>
        <v/>
      </c>
      <c r="D4" s="2">
        <f>COUNT('Cleaned Data'!F2:F10)</f>
        <v/>
      </c>
    </row>
    <row r="5">
      <c r="A5" s="2" t="inlineStr">
        <is>
          <t>Missing</t>
        </is>
      </c>
      <c r="B5" s="2">
        <f>(10-1)-COUNT('Cleaned Data'!C2:C10)</f>
        <v/>
      </c>
      <c r="C5" s="2">
        <f>(10-1)-COUNT('Cleaned Data'!D2:D10)</f>
        <v/>
      </c>
      <c r="D5" s="2">
        <f>(10-1)-COUNT('Cleaned Data'!F2:F10)</f>
        <v/>
      </c>
    </row>
    <row r="6">
      <c r="A6" s="2" t="inlineStr">
        <is>
          <t>Mean</t>
        </is>
      </c>
      <c r="B6" s="7">
        <f>AVERAGE('Cleaned Data'!C2:C10)</f>
        <v/>
      </c>
      <c r="C6" s="4">
        <f>AVERAGE('Cleaned Data'!D2:D10)</f>
        <v/>
      </c>
      <c r="D6" s="4">
        <f>AVERAGE('Cleaned Data'!F2:F10)</f>
        <v/>
      </c>
    </row>
    <row r="7">
      <c r="A7" s="2" t="inlineStr">
        <is>
          <t>Median</t>
        </is>
      </c>
      <c r="B7" s="7">
        <f>MEDIAN('Cleaned Data'!C2:C10)</f>
        <v/>
      </c>
      <c r="C7" s="4">
        <f>MEDIAN('Cleaned Data'!D2:D10)</f>
        <v/>
      </c>
      <c r="D7" s="4">
        <f>MEDIAN('Cleaned Data'!F2:F10)</f>
        <v/>
      </c>
    </row>
    <row r="8">
      <c r="A8" s="2" t="inlineStr">
        <is>
          <t>Std. Deviation</t>
        </is>
      </c>
      <c r="B8" s="7">
        <f>STDEV('Cleaned Data'!C2:C10)</f>
        <v/>
      </c>
      <c r="C8" s="4">
        <f>STDEV('Cleaned Data'!D2:D10)</f>
        <v/>
      </c>
      <c r="D8" s="4">
        <f>STDEV('Cleaned Data'!F2:F10)</f>
        <v/>
      </c>
    </row>
    <row r="9">
      <c r="A9" s="2" t="inlineStr">
        <is>
          <t>Min</t>
        </is>
      </c>
      <c r="B9" s="7">
        <f>MIN('Cleaned Data'!C2:C10)</f>
        <v/>
      </c>
      <c r="C9" s="4">
        <f>MIN('Cleaned Data'!D2:D10)</f>
        <v/>
      </c>
      <c r="D9" s="4">
        <f>MIN('Cleaned Data'!F2:F10)</f>
        <v/>
      </c>
    </row>
    <row r="10">
      <c r="A10" s="2" t="inlineStr">
        <is>
          <t>Max</t>
        </is>
      </c>
      <c r="B10" s="7">
        <f>MAX('Cleaned Data'!C2:C10)</f>
        <v/>
      </c>
      <c r="C10" s="4">
        <f>MAX('Cleaned Data'!D2:D10)</f>
        <v/>
      </c>
      <c r="D10" s="4">
        <f>MAX('Cleaned Data'!F2:F10)</f>
        <v/>
      </c>
    </row>
    <row r="11">
      <c r="A11" s="2" t="inlineStr">
        <is>
          <t>Range</t>
        </is>
      </c>
      <c r="B11" s="7">
        <f>MAX('Cleaned Data'!C2:C10)-MIN('Cleaned Data'!C2:C10)</f>
        <v/>
      </c>
      <c r="C11" s="4">
        <f>MAX('Cleaned Data'!D2:D10)-MIN('Cleaned Data'!D2:D10)</f>
        <v/>
      </c>
      <c r="D11" s="4">
        <f>MAX('Cleaned Data'!F2:F10)-MIN('Cleaned Data'!F2:F10)</f>
        <v/>
      </c>
    </row>
    <row r="12">
      <c r="A12" s="2" t="inlineStr">
        <is>
          <t>Q1</t>
        </is>
      </c>
      <c r="B12" s="7">
        <f>QUARTILE('Cleaned Data'!C2:C10,1)</f>
        <v/>
      </c>
      <c r="C12" s="4">
        <f>QUARTILE('Cleaned Data'!D2:D10,1)</f>
        <v/>
      </c>
      <c r="D12" s="4">
        <f>QUARTILE('Cleaned Data'!F2:F10,1)</f>
        <v/>
      </c>
    </row>
    <row r="13">
      <c r="A13" s="2" t="inlineStr">
        <is>
          <t>Q3</t>
        </is>
      </c>
      <c r="B13" s="7">
        <f>QUARTILE('Cleaned Data'!C2:C10,3)</f>
        <v/>
      </c>
      <c r="C13" s="4">
        <f>QUARTILE('Cleaned Data'!D2:D10,3)</f>
        <v/>
      </c>
      <c r="D13" s="4">
        <f>QUARTILE('Cleaned Data'!F2:F10,3)</f>
        <v/>
      </c>
    </row>
    <row r="14">
      <c r="A14" s="2" t="inlineStr">
        <is>
          <t>IQR (Q3-Q1)</t>
        </is>
      </c>
      <c r="B14" s="7">
        <f>B13-B12</f>
        <v/>
      </c>
      <c r="C14" s="4">
        <f>C13-C12</f>
        <v/>
      </c>
      <c r="D14" s="4">
        <f>D13-D12</f>
        <v/>
      </c>
    </row>
    <row r="15">
      <c r="A15" s="2" t="inlineStr">
        <is>
          <t>Lower Outlier Bound</t>
        </is>
      </c>
      <c r="B15" s="7">
        <f>B12-1.5*B14</f>
        <v/>
      </c>
      <c r="C15" s="4">
        <f>C12-1.5*C14</f>
        <v/>
      </c>
      <c r="D15" s="4">
        <f>D12-1.5*D14</f>
        <v/>
      </c>
    </row>
    <row r="16">
      <c r="A16" s="2" t="inlineStr">
        <is>
          <t>Upper Outlier Bound</t>
        </is>
      </c>
      <c r="B16" s="7">
        <f>B13+1.5*B14</f>
        <v/>
      </c>
      <c r="C16" s="4">
        <f>C13+1.5*C14</f>
        <v/>
      </c>
      <c r="D16" s="4">
        <f>D13+1.5*D14</f>
        <v/>
      </c>
    </row>
    <row r="17">
      <c r="A17" s="2" t="inlineStr">
        <is>
          <t>Outlier Count</t>
        </is>
      </c>
      <c r="B17" s="2">
        <f>COUNTIFS('Cleaned Data'!C2:C10,"&lt;"&amp;B15)+COUNTIFS('Cleaned Data'!C2:C10,"&gt;"&amp;B16)</f>
        <v/>
      </c>
      <c r="C17" s="2">
        <f>COUNTIFS('Cleaned Data'!D2:D10,"&lt;"&amp;C15)+COUNTIFS('Cleaned Data'!D2:D10,"&gt;"&amp;C16)</f>
        <v/>
      </c>
      <c r="D17" s="2">
        <f>COUNTIFS('Cleaned Data'!F2:F10,"&lt;"&amp;D15)+COUNTIFS('Cleaned Data'!F2:F10,"&gt;"&amp;D16)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14" customWidth="1" min="5" max="5"/>
  </cols>
  <sheetData>
    <row r="1">
      <c r="A1" s="6" t="inlineStr">
        <is>
          <t>Averages by Country (live formulas referencing 'Cleaned Data')</t>
        </is>
      </c>
    </row>
    <row r="3">
      <c r="A3" s="1" t="inlineStr">
        <is>
          <t>Country</t>
        </is>
      </c>
      <c r="B3" s="1" t="inlineStr">
        <is>
          <t>N (people)</t>
        </is>
      </c>
      <c r="C3" s="1" t="inlineStr">
        <is>
          <t>Avg Age</t>
        </is>
      </c>
      <c r="D3" s="1" t="inlineStr">
        <is>
          <t>Avg Net worth</t>
        </is>
      </c>
      <c r="E3" s="1" t="inlineStr">
        <is>
          <t>Avg Salary</t>
        </is>
      </c>
    </row>
    <row r="4">
      <c r="A4" s="2" t="inlineStr">
        <is>
          <t>AUS</t>
        </is>
      </c>
      <c r="B4" s="2">
        <f>COUNTIF('Cleaned Data'!E2:E10,A4)</f>
        <v/>
      </c>
      <c r="C4" s="7">
        <f>IFERROR(AVERAGEIF('Cleaned Data'!E2:E10,A4,'Cleaned Data'!C2:C10),"n/a")</f>
        <v/>
      </c>
      <c r="D4" s="4">
        <f>IFERROR(AVERAGEIF('Cleaned Data'!E2:E10,A4,'Cleaned Data'!D2:D10),"n/a")</f>
        <v/>
      </c>
      <c r="E4" s="4">
        <f>IFERROR(AVERAGEIF('Cleaned Data'!E2:E10,A4,'Cleaned Data'!F2:F10),"n/a")</f>
        <v/>
      </c>
    </row>
    <row r="5">
      <c r="A5" s="2" t="inlineStr">
        <is>
          <t>NZ</t>
        </is>
      </c>
      <c r="B5" s="2">
        <f>COUNTIF('Cleaned Data'!E2:E10,A5)</f>
        <v/>
      </c>
      <c r="C5" s="7">
        <f>IFERROR(AVERAGEIF('Cleaned Data'!E2:E10,A5,'Cleaned Data'!C2:C10),"n/a")</f>
        <v/>
      </c>
      <c r="D5" s="4">
        <f>IFERROR(AVERAGEIF('Cleaned Data'!E2:E10,A5,'Cleaned Data'!D2:D10),"n/a")</f>
        <v/>
      </c>
      <c r="E5" s="4">
        <f>IFERROR(AVERAGEIF('Cleaned Data'!E2:E10,A5,'Cleaned Data'!F2:F10),"n/a")</f>
        <v/>
      </c>
    </row>
    <row r="6">
      <c r="A6" s="2" t="inlineStr">
        <is>
          <t>Unknown</t>
        </is>
      </c>
      <c r="B6" s="2">
        <f>COUNTIF('Cleaned Data'!E2:E10,A6)</f>
        <v/>
      </c>
      <c r="C6" s="7">
        <f>IFERROR(AVERAGEIF('Cleaned Data'!E2:E10,A6,'Cleaned Data'!C2:C10),"n/a")</f>
        <v/>
      </c>
      <c r="D6" s="4">
        <f>IFERROR(AVERAGEIF('Cleaned Data'!E2:E10,A6,'Cleaned Data'!D2:D10),"n/a")</f>
        <v/>
      </c>
      <c r="E6" s="4">
        <f>IFERROR(AVERAGEIF('Cleaned Data'!E2:E10,A6,'Cleaned Data'!F2:F10),"n/a")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6" t="inlineStr">
        <is>
          <t>Pearson Correlation Matrix (live CORREL formulas)</t>
        </is>
      </c>
    </row>
    <row r="3">
      <c r="A3" s="1" t="inlineStr"/>
      <c r="B3" s="1" t="inlineStr">
        <is>
          <t>Age</t>
        </is>
      </c>
      <c r="C3" s="1" t="inlineStr">
        <is>
          <t>Net worth</t>
        </is>
      </c>
      <c r="D3" s="1" t="inlineStr">
        <is>
          <t>Salary</t>
        </is>
      </c>
    </row>
    <row r="4">
      <c r="A4" s="2" t="inlineStr">
        <is>
          <t>Age</t>
        </is>
      </c>
      <c r="B4" s="8">
        <f>CORREL('Cleaned Data'!C2:C10,'Cleaned Data'!C2:C10)</f>
        <v/>
      </c>
      <c r="C4" s="8">
        <f>CORREL('Cleaned Data'!C2:C10,'Cleaned Data'!D2:D10)</f>
        <v/>
      </c>
      <c r="D4" s="8">
        <f>CORREL('Cleaned Data'!C2:C10,'Cleaned Data'!F2:F10)</f>
        <v/>
      </c>
    </row>
    <row r="5">
      <c r="A5" s="2" t="inlineStr">
        <is>
          <t>Net worth</t>
        </is>
      </c>
      <c r="B5" s="8">
        <f>CORREL('Cleaned Data'!D2:D10,'Cleaned Data'!C2:C10)</f>
        <v/>
      </c>
      <c r="C5" s="8">
        <f>CORREL('Cleaned Data'!D2:D10,'Cleaned Data'!D2:D10)</f>
        <v/>
      </c>
      <c r="D5" s="8">
        <f>CORREL('Cleaned Data'!D2:D10,'Cleaned Data'!F2:F10)</f>
        <v/>
      </c>
    </row>
    <row r="6">
      <c r="A6" s="2" t="inlineStr">
        <is>
          <t>Salary</t>
        </is>
      </c>
      <c r="B6" s="8">
        <f>CORREL('Cleaned Data'!F2:F10,'Cleaned Data'!C2:C10)</f>
        <v/>
      </c>
      <c r="C6" s="8">
        <f>CORREL('Cleaned Data'!F2:F10,'Cleaned Data'!D2:D10)</f>
        <v/>
      </c>
      <c r="D6" s="8">
        <f>CORREL('Cleaned Data'!F2:F10,'Cleaned Data'!F2:F10)</f>
        <v/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6" t="inlineStr">
        <is>
          <t>Data Quality Summary (measured during Python cleaning step)</t>
        </is>
      </c>
    </row>
    <row r="3">
      <c r="A3" s="2" t="inlineStr">
        <is>
          <t>Rows before cleaning</t>
        </is>
      </c>
      <c r="B3" s="2" t="n">
        <v>10</v>
      </c>
    </row>
    <row r="4">
      <c r="A4" s="2" t="inlineStr">
        <is>
          <t>Rows after cleaning</t>
        </is>
      </c>
      <c r="B4" s="2" t="n">
        <v>9</v>
      </c>
    </row>
    <row r="5">
      <c r="A5" s="2" t="inlineStr">
        <is>
          <t>Duplicate ID(s) merged</t>
        </is>
      </c>
      <c r="B5" s="2" t="inlineStr">
        <is>
          <t>2</t>
        </is>
      </c>
    </row>
    <row r="7">
      <c r="A7" s="1" t="inlineStr">
        <is>
          <t>Column</t>
        </is>
      </c>
      <c r="B7" s="1" t="inlineStr">
        <is>
          <t>Missing BEFORE cleaning</t>
        </is>
      </c>
      <c r="C7" s="1" t="inlineStr">
        <is>
          <t>Missing AFTER cleaning</t>
        </is>
      </c>
    </row>
    <row r="8">
      <c r="A8" s="2" t="inlineStr">
        <is>
          <t>ID</t>
        </is>
      </c>
      <c r="B8" s="2" t="n">
        <v>1</v>
      </c>
      <c r="C8" s="2" t="n">
        <v>1</v>
      </c>
    </row>
    <row r="9">
      <c r="A9" s="2" t="inlineStr">
        <is>
          <t>Name</t>
        </is>
      </c>
      <c r="B9" s="2" t="n">
        <v>1</v>
      </c>
      <c r="C9" s="2" t="n">
        <v>0</v>
      </c>
    </row>
    <row r="10">
      <c r="A10" s="2" t="inlineStr">
        <is>
          <t>Age</t>
        </is>
      </c>
      <c r="B10" s="2" t="n">
        <v>2</v>
      </c>
      <c r="C10" s="2" t="n">
        <v>1</v>
      </c>
    </row>
    <row r="11">
      <c r="A11" s="2" t="inlineStr">
        <is>
          <t>Net worth</t>
        </is>
      </c>
      <c r="B11" s="2" t="n">
        <v>3</v>
      </c>
      <c r="C11" s="2" t="n">
        <v>2</v>
      </c>
    </row>
    <row r="12">
      <c r="A12" s="2" t="inlineStr">
        <is>
          <t>Country</t>
        </is>
      </c>
      <c r="B12" s="2" t="n">
        <v>1</v>
      </c>
      <c r="C12" s="2" t="n">
        <v>0</v>
      </c>
    </row>
    <row r="13">
      <c r="A13" s="2" t="inlineStr">
        <is>
          <t>Salary</t>
        </is>
      </c>
      <c r="B13" s="2" t="n">
        <v>2</v>
      </c>
      <c r="C13" s="2" t="n">
        <v>1</v>
      </c>
    </row>
    <row r="14">
      <c r="A14" s="2" t="inlineStr">
        <is>
          <t>Join Date</t>
        </is>
      </c>
      <c r="B14" s="2" t="n">
        <v>1</v>
      </c>
      <c r="C14" s="2" t="n">
        <v>1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2026-08-16T00:11:06Z</dcterms:created>
  <dcterms:modified xsi:type="dcterms:W3CDTF">2026-08-16T00:11:06Z</dcterms:modified>
</cp:coreProperties>
</file>